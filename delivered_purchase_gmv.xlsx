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/>
  </bookViews>
  <sheets>
    <sheet name="purchase_GMV" sheetId="2" r:id="rId1"/>
    <sheet name="purchase_GMV vs delivered_GMV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<sst xmlns="http://schemas.openxmlformats.org/spreadsheetml/2006/main" count="53" uniqueCount="32">
  <si>
    <t>月份</t>
  </si>
  <si>
    <t>订单数</t>
  </si>
  <si>
    <t>客单价</t>
  </si>
  <si>
    <t>月GMV</t>
  </si>
  <si>
    <t>环比百分比（%）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</si>
  <si>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</si>
  <si>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</si>
  <si>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</si>
  <si>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</si>
  <si>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</si>
  <si>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</si>
  <si>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</si>
  <si>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</si>
  <si>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</si>
  <si>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</si>
  <si>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</si>
  <si>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</si>
  <si>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</si>
  <si>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</si>
  <si>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</si>
  <si>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</si>
  <si>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</si>
  <si>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</si>
  <si>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</si>
  <si>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</si>
  <si>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订单数（purchase）</t>
  </si>
  <si>
    <t>客单价(purchase)</t>
  </si>
  <si>
    <t>purchase_gmv</t>
  </si>
  <si>
    <t>订单数(delivered)</t>
  </si>
  <si>
    <t>客单价（delivered）</t>
  </si>
  <si>
    <t>delivered_gmv</t>
  </si>
  <si>
    <t>GMV差异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</si>
</sst>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7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6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Calibri"/>
      <charset val="134"/>
    </font>
    <font>
      <sz val="1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7" borderId="5">
      <alignment vertical="center"/>
    </xf>
    <xf numFmtId="0" fontId="17" fillId="8" borderId="6">
      <alignment vertical="center"/>
    </xf>
    <xf numFmtId="0" fontId="18" fillId="8" borderId="5">
      <alignment vertical="center"/>
    </xf>
    <xf numFmtId="0" fontId="19" fillId="9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4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3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176" fontId="3" fillId="0" borderId="0" xfId="0" applyNumberFormat="1" applyFont="1" applyFill="1" applyAlignment="1">
      <alignment vertical="center"/>
    </xf>
    <xf numFmtId="177" fontId="3" fillId="0" borderId="0" xfId="0" applyNumberFormat="1" applyFont="1" applyFill="1" applyAlignment="1"/>
    <xf numFmtId="176" fontId="3" fillId="0" borderId="0" xfId="0" applyNumberFormat="1" applyFont="1" applyFill="1" applyAlignment="1"/>
    <xf numFmtId="9" fontId="4" fillId="0" borderId="0" xfId="0" applyNumberFormat="1" applyFont="1" applyAlignment="1">
      <alignment vertical="center"/>
    </xf>
    <xf numFmtId="9" fontId="4" fillId="0" borderId="0" xfId="0" applyNumberFormat="1" applyFont="1" applyBorder="1" applyAlignment="1">
      <alignment vertical="center"/>
    </xf>
    <xf numFmtId="0" fontId="3" fillId="2" borderId="1" xfId="0" applyFont="1" applyFill="1" applyBorder="1" applyAlignment="1"/>
    <xf numFmtId="176" fontId="3" fillId="2" borderId="1" xfId="0" applyNumberFormat="1" applyFont="1" applyFill="1" applyBorder="1" applyAlignment="1"/>
    <xf numFmtId="177" fontId="3" fillId="2" borderId="1" xfId="0" applyNumberFormat="1" applyFont="1" applyFill="1" applyBorder="1" applyAlignment="1"/>
    <xf numFmtId="9" fontId="4" fillId="2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/>
    <xf numFmtId="177" fontId="5" fillId="4" borderId="1" xfId="0" applyNumberFormat="1" applyFont="1" applyFill="1" applyBorder="1" applyAlignment="1"/>
    <xf numFmtId="9" fontId="4" fillId="4" borderId="1" xfId="0" applyNumberFormat="1" applyFont="1" applyFill="1" applyBorder="1" applyAlignment="1">
      <alignment vertical="center"/>
    </xf>
    <xf numFmtId="177" fontId="5" fillId="5" borderId="1" xfId="0" applyNumberFormat="1" applyFont="1" applyFill="1" applyBorder="1" applyAlignment="1"/>
    <xf numFmtId="9" fontId="4" fillId="5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/>
    <xf numFmtId="176" fontId="3" fillId="0" borderId="1" xfId="0" applyNumberFormat="1" applyFont="1" applyFill="1" applyBorder="1" applyAlignment="1"/>
    <xf numFmtId="177" fontId="3" fillId="0" borderId="1" xfId="0" applyNumberFormat="1" applyFont="1" applyFill="1" applyBorder="1" applyAlignment="1"/>
    <xf numFmtId="9" fontId="4" fillId="2" borderId="0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Fill="1" applyAlignment="1"/>
    <xf numFmtId="0" fontId="7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Fill="1" applyAlignment="1"/>
    <xf numFmtId="176" fontId="3" fillId="0" borderId="0" xfId="0" applyNumberFormat="1" applyFont="1" applyFill="1" applyAlignment="1"/>
    <xf numFmtId="177" fontId="3" fillId="0" borderId="0" xfId="0" applyNumberFormat="1" applyFont="1" applyFill="1" applyAlignment="1"/>
    <xf numFmtId="0" fontId="3" fillId="0" borderId="0" xfId="0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2017-2018</a:t>
            </a:r>
            <a:r>
              <a:rPr altLang="en-US"/>
              <a:t>月</a:t>
            </a:r>
            <a:r>
              <a:rPr lang="en-US" altLang="zh-CN"/>
              <a:t>GMV</a:t>
            </a:r>
            <a:r>
              <a:rPr altLang="en-US"/>
              <a:t>趋势分布</a:t>
            </a:r>
            <a:endParaRPr altLang="en-US"/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altLang="zh-CN"/>
          </a:p>
        </c:rich>
      </c:tx>
      <c:layout>
        <c:manualLayout>
          <c:xMode val="edge"/>
          <c:yMode val="edge"/>
          <c:x val="0.425092572424308"/>
          <c:y val="0.035863397923134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purchase_GMV!$D$1</c:f>
              <c:strCache>
                <c:ptCount val="1"/>
                <c:pt idx="0">
                  <c:v>月GMV</c:v>
                </c:pt>
              </c:strCache>
            </c:strRef>
          </c:tx>
          <c:spPr>
            <a:solidFill>
              <a:schemeClr val="accent4"/>
            </a:solidFill>
            <a:ln w="12700" cmpd="sng">
              <a:solidFill>
                <a:schemeClr val="accent1"/>
              </a:solidFill>
              <a:prstDash val="solid"/>
            </a:ln>
            <a:effectLst/>
            <a:sp3d contourW="12700"/>
          </c:spPr>
          <c:invertIfNegative val="0"/>
          <c:dLbls>
            <c:dLbl>
              <c:idx val="10"/>
              <c:layout>
                <c:manualLayout>
                  <c:x val="-0.000793770789234956"/>
                  <c:y val="0.004588325261279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purchase_GMV!$D$2:$D$21</c:f>
              <c:numCache>
                <c:formatCode>0_ </c:formatCode>
                <c:ptCount val="20"/>
                <c:pt idx="0">
                  <c:v>121059.68</c:v>
                </c:pt>
                <c:pt idx="1">
                  <c:v>249797.27</c:v>
                </c:pt>
                <c:pt idx="2">
                  <c:v>388755.88</c:v>
                </c:pt>
                <c:pt idx="3">
                  <c:v>363204.66</c:v>
                </c:pt>
                <c:pt idx="4">
                  <c:v>539937.77</c:v>
                </c:pt>
                <c:pt idx="5">
                  <c:v>461088.56</c:v>
                </c:pt>
                <c:pt idx="6">
                  <c:v>555429.62</c:v>
                </c:pt>
                <c:pt idx="7">
                  <c:v>630986.75</c:v>
                </c:pt>
                <c:pt idx="8">
                  <c:v>670500.65</c:v>
                </c:pt>
                <c:pt idx="9">
                  <c:v>717655.7</c:v>
                </c:pt>
                <c:pt idx="10">
                  <c:v>1115402</c:v>
                </c:pt>
                <c:pt idx="11">
                  <c:v>818079.73</c:v>
                </c:pt>
                <c:pt idx="12">
                  <c:v>1051218.4</c:v>
                </c:pt>
                <c:pt idx="13">
                  <c:v>945911.24</c:v>
                </c:pt>
                <c:pt idx="14">
                  <c:v>1087659.02</c:v>
                </c:pt>
                <c:pt idx="15">
                  <c:v>1079174.61</c:v>
                </c:pt>
                <c:pt idx="16">
                  <c:v>1072438.42</c:v>
                </c:pt>
                <c:pt idx="17">
                  <c:v>969059.36</c:v>
                </c:pt>
                <c:pt idx="18">
                  <c:v>975495.86</c:v>
                </c:pt>
                <c:pt idx="19">
                  <c:v>939792.93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9"/>
        <c:overlap val="-27"/>
        <c:axId val="63426453"/>
        <c:axId val="444967007"/>
      </c:barChart>
      <c:lineChart>
        <c:grouping val="standard"/>
        <c:varyColors val="0"/>
        <c:ser>
          <c:idx val="1"/>
          <c:order val="1"/>
          <c:tx>
            <c:strRef>
              <c:f>purchase_GMV!$E$1</c:f>
              <c:strCache>
                <c:ptCount val="1"/>
                <c:pt idx="0">
                  <c:v>环比百分比（%）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  <a:sp3d contourW="5715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purchase_GMV!$E$2:$E$21</c:f>
              <c:numCache>
                <c:formatCode>General</c:formatCode>
                <c:ptCount val="20"/>
                <c:pt idx="1">
                  <c:v>106.34</c:v>
                </c:pt>
                <c:pt idx="2">
                  <c:v>55.63</c:v>
                </c:pt>
                <c:pt idx="3">
                  <c:v>-6.57</c:v>
                </c:pt>
                <c:pt idx="4">
                  <c:v>48.66</c:v>
                </c:pt>
                <c:pt idx="5">
                  <c:v>-14.6</c:v>
                </c:pt>
                <c:pt idx="6">
                  <c:v>20.46</c:v>
                </c:pt>
                <c:pt idx="7">
                  <c:v>13.6</c:v>
                </c:pt>
                <c:pt idx="8">
                  <c:v>6.26</c:v>
                </c:pt>
                <c:pt idx="9">
                  <c:v>7.03</c:v>
                </c:pt>
                <c:pt idx="10">
                  <c:v>55.42</c:v>
                </c:pt>
                <c:pt idx="11">
                  <c:v>-26.66</c:v>
                </c:pt>
                <c:pt idx="12">
                  <c:v>28.5</c:v>
                </c:pt>
                <c:pt idx="13">
                  <c:v>-10.02</c:v>
                </c:pt>
                <c:pt idx="14">
                  <c:v>14.99</c:v>
                </c:pt>
                <c:pt idx="15">
                  <c:v>-0.78</c:v>
                </c:pt>
                <c:pt idx="16">
                  <c:v>-0.62</c:v>
                </c:pt>
                <c:pt idx="17">
                  <c:v>-9.64</c:v>
                </c:pt>
                <c:pt idx="18">
                  <c:v>0.66</c:v>
                </c:pt>
                <c:pt idx="19">
                  <c:v>-3.66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79760220"/>
        <c:axId val="376405745"/>
      </c:lineChart>
      <c:catAx>
        <c:axId val="63426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4967007"/>
        <c:crosses val="autoZero"/>
        <c:auto val="1"/>
        <c:lblAlgn val="ctr"/>
        <c:lblOffset val="100"/>
        <c:noMultiLvlLbl val="0"/>
      </c:catAx>
      <c:valAx>
        <c:axId val="44496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426453"/>
        <c:crosses val="autoZero"/>
        <c:crossBetween val="between"/>
      </c:valAx>
      <c:catAx>
        <c:axId val="679760220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6405745"/>
        <c:crosses val="autoZero"/>
        <c:auto val="1"/>
        <c:lblAlgn val="ctr"/>
        <c:lblOffset val="100"/>
        <c:noMultiLvlLbl val="0"/>
      </c:catAx>
      <c:valAx>
        <c:axId val="37640574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976022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wordArtVertRtl" anchor="b" anchorCtr="1"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</xdr:colOff>
      <xdr:row>0</xdr:row>
      <xdr:rowOff>43180</xdr:rowOff>
    </xdr:from>
    <xdr:to>
      <xdr:col>21</xdr:col>
      <xdr:colOff>100330</xdr:colOff>
      <xdr:row>35</xdr:row>
      <xdr:rowOff>115570</xdr:rowOff>
    </xdr:to>
    <xdr:graphicFrame>
      <xdr:nvGraphicFramePr>
        <xdr:cNvPr id="5" name="图表 4"/>
        <xdr:cNvGraphicFramePr/>
      </xdr:nvGraphicFramePr>
      <xdr:xfrm>
        <a:off x="3175" y="43180"/>
        <a:ext cx="16868775" cy="7607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="70" zoomScaleNormal="70" workbookViewId="0">
      <selection activeCell="W7" sqref="W7"/>
    </sheetView>
  </sheetViews>
  <sheetFormatPr defaultColWidth="9.02654867256637" defaultRowHeight="13.5" outlineLevelCol="4"/>
  <cols>
    <col min="1" max="1" width="17.4601769911504" customWidth="1"/>
    <col min="2" max="2" width="10.4955752212389" customWidth="1"/>
    <col min="3" max="3" width="17.5309734513274" customWidth="1"/>
    <col min="4" max="4" width="19.9203539823009" customWidth="1"/>
    <col min="5" max="5" width="23.9026548672566" customWidth="1"/>
  </cols>
  <sheetData>
    <row r="1" ht="24.35" spans="1: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</row>
    <row r="2" ht="19" customHeight="1" spans="1:5">
      <c r="A2" s="25" t="s">
        <v>5</v>
      </c>
      <c r="B2" s="26">
        <v>750</v>
      </c>
      <c r="C2" s="27">
        <v>161.412906666667</v>
      </c>
      <c r="D2" s="28">
        <v>121059.68</v>
      </c>
      <c r="E2" s="29"/>
    </row>
    <row r="3" ht="19" customHeight="1" spans="1:5">
      <c r="A3" s="25" t="s">
        <v>6</v>
      </c>
      <c r="B3" s="26">
        <v>1653</v>
      </c>
      <c r="C3" s="27">
        <v>151.117525710829</v>
      </c>
      <c r="D3" s="28">
        <v>249797.27</v>
      </c>
      <c r="E3" s="26">
        <v>106.34</v>
      </c>
    </row>
    <row r="4" ht="19" customHeight="1" spans="1:5">
      <c r="A4" s="25" t="s">
        <v>7</v>
      </c>
      <c r="B4" s="26">
        <v>2546</v>
      </c>
      <c r="C4" s="27">
        <v>152.692804399057</v>
      </c>
      <c r="D4" s="28">
        <v>388755.88</v>
      </c>
      <c r="E4" s="26">
        <v>55.63</v>
      </c>
    </row>
    <row r="5" ht="19" customHeight="1" spans="1:5">
      <c r="A5" s="25" t="s">
        <v>8</v>
      </c>
      <c r="B5" s="26">
        <v>2303</v>
      </c>
      <c r="C5" s="27">
        <v>157.709361702128</v>
      </c>
      <c r="D5" s="28">
        <v>363204.66</v>
      </c>
      <c r="E5" s="26">
        <v>-6.57</v>
      </c>
    </row>
    <row r="6" ht="19" customHeight="1" spans="1:5">
      <c r="A6" s="25" t="s">
        <v>9</v>
      </c>
      <c r="B6" s="26">
        <v>3546</v>
      </c>
      <c r="C6" s="27">
        <v>152.266714608009</v>
      </c>
      <c r="D6" s="28">
        <v>539937.77</v>
      </c>
      <c r="E6" s="26">
        <v>48.66</v>
      </c>
    </row>
    <row r="7" ht="19" customHeight="1" spans="1:5">
      <c r="A7" s="25" t="s">
        <v>10</v>
      </c>
      <c r="B7" s="26">
        <v>3135</v>
      </c>
      <c r="C7" s="27">
        <v>147.077690590112</v>
      </c>
      <c r="D7" s="28">
        <v>461088.56</v>
      </c>
      <c r="E7" s="26">
        <v>-14.6</v>
      </c>
    </row>
    <row r="8" ht="19" customHeight="1" spans="1:5">
      <c r="A8" s="25" t="s">
        <v>11</v>
      </c>
      <c r="B8" s="26">
        <v>3872</v>
      </c>
      <c r="C8" s="27">
        <v>143.447732438017</v>
      </c>
      <c r="D8" s="28">
        <v>555429.62</v>
      </c>
      <c r="E8" s="26">
        <v>20.46</v>
      </c>
    </row>
    <row r="9" ht="19" customHeight="1" spans="1:5">
      <c r="A9" s="25" t="s">
        <v>12</v>
      </c>
      <c r="B9" s="26">
        <v>4193</v>
      </c>
      <c r="C9" s="27">
        <v>150.485750059623</v>
      </c>
      <c r="D9" s="28">
        <v>630986.75</v>
      </c>
      <c r="E9" s="26">
        <v>13.6</v>
      </c>
    </row>
    <row r="10" ht="19" customHeight="1" spans="1:5">
      <c r="A10" s="25" t="s">
        <v>13</v>
      </c>
      <c r="B10" s="26">
        <v>4150</v>
      </c>
      <c r="C10" s="27">
        <v>161.566421686747</v>
      </c>
      <c r="D10" s="28">
        <v>670500.65</v>
      </c>
      <c r="E10" s="26">
        <v>6.26</v>
      </c>
    </row>
    <row r="11" ht="19" customHeight="1" spans="1:5">
      <c r="A11" s="25" t="s">
        <v>14</v>
      </c>
      <c r="B11" s="26">
        <v>4478</v>
      </c>
      <c r="C11" s="27">
        <v>160.262550245645</v>
      </c>
      <c r="D11" s="28">
        <v>717655.7</v>
      </c>
      <c r="E11" s="26">
        <v>7.03</v>
      </c>
    </row>
    <row r="12" ht="19" customHeight="1" spans="1:5">
      <c r="A12" s="25" t="s">
        <v>15</v>
      </c>
      <c r="B12" s="26">
        <v>7289</v>
      </c>
      <c r="C12" s="27">
        <v>153.02538071066</v>
      </c>
      <c r="D12" s="28">
        <v>1115402</v>
      </c>
      <c r="E12" s="26">
        <v>55.42</v>
      </c>
    </row>
    <row r="13" ht="19" customHeight="1" spans="1:5">
      <c r="A13" s="25" t="s">
        <v>16</v>
      </c>
      <c r="B13" s="26">
        <v>5513</v>
      </c>
      <c r="C13" s="27">
        <v>148.391026664248</v>
      </c>
      <c r="D13" s="28">
        <v>818079.73</v>
      </c>
      <c r="E13" s="26">
        <v>-26.66</v>
      </c>
    </row>
    <row r="14" ht="19" customHeight="1" spans="1:5">
      <c r="A14" s="25" t="s">
        <v>17</v>
      </c>
      <c r="B14" s="26">
        <v>7069</v>
      </c>
      <c r="C14" s="27">
        <v>148.708218984298</v>
      </c>
      <c r="D14" s="28">
        <v>1051218.4</v>
      </c>
      <c r="E14" s="26">
        <v>28.5</v>
      </c>
    </row>
    <row r="15" ht="19" customHeight="1" spans="1:5">
      <c r="A15" s="25" t="s">
        <v>18</v>
      </c>
      <c r="B15" s="26">
        <v>6555</v>
      </c>
      <c r="C15" s="27">
        <v>144.303774218154</v>
      </c>
      <c r="D15" s="28">
        <v>945911.24</v>
      </c>
      <c r="E15" s="26">
        <v>-10.02</v>
      </c>
    </row>
    <row r="16" ht="19" customHeight="1" spans="1:5">
      <c r="A16" s="25" t="s">
        <v>19</v>
      </c>
      <c r="B16" s="26">
        <v>7003</v>
      </c>
      <c r="C16" s="27">
        <v>155.313297158361</v>
      </c>
      <c r="D16" s="28">
        <v>1087659.02</v>
      </c>
      <c r="E16" s="26">
        <v>14.99</v>
      </c>
    </row>
    <row r="17" ht="19" customHeight="1" spans="1:5">
      <c r="A17" s="25" t="s">
        <v>20</v>
      </c>
      <c r="B17" s="26">
        <v>6798</v>
      </c>
      <c r="C17" s="27">
        <v>158.748839364519</v>
      </c>
      <c r="D17" s="28">
        <v>1079174.61</v>
      </c>
      <c r="E17" s="26">
        <v>-0.78</v>
      </c>
    </row>
    <row r="18" ht="19" customHeight="1" spans="1:5">
      <c r="A18" s="25" t="s">
        <v>21</v>
      </c>
      <c r="B18" s="26">
        <v>6749</v>
      </c>
      <c r="C18" s="27">
        <v>158.903307156616</v>
      </c>
      <c r="D18" s="28">
        <v>1072438.42</v>
      </c>
      <c r="E18" s="26">
        <v>-0.62</v>
      </c>
    </row>
    <row r="19" ht="19" customHeight="1" spans="1:5">
      <c r="A19" s="25" t="s">
        <v>22</v>
      </c>
      <c r="B19" s="26">
        <v>6099</v>
      </c>
      <c r="C19" s="27">
        <v>158.88823741597</v>
      </c>
      <c r="D19" s="28">
        <v>969059.36</v>
      </c>
      <c r="E19" s="26">
        <v>-9.64</v>
      </c>
    </row>
    <row r="20" ht="19" customHeight="1" spans="1:5">
      <c r="A20" s="25" t="s">
        <v>23</v>
      </c>
      <c r="B20" s="26">
        <v>6159</v>
      </c>
      <c r="C20" s="27">
        <v>158.385429452833</v>
      </c>
      <c r="D20" s="28">
        <v>975495.86</v>
      </c>
      <c r="E20" s="26">
        <v>0.66</v>
      </c>
    </row>
    <row r="21" ht="19" customHeight="1" spans="1:5">
      <c r="A21" s="25" t="s">
        <v>24</v>
      </c>
      <c r="B21" s="26">
        <v>6351</v>
      </c>
      <c r="C21" s="27">
        <v>147.975583372697</v>
      </c>
      <c r="D21" s="28">
        <v>939792.93</v>
      </c>
      <c r="E21" s="26">
        <v>-3.66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showGridLines="0" workbookViewId="0">
      <selection activeCell="A39" sqref="A38:A39"/>
    </sheetView>
  </sheetViews>
  <sheetFormatPr defaultColWidth="9" defaultRowHeight="13.5"/>
  <cols>
    <col min="1" max="1" width="12.0796460176991" customWidth="1"/>
    <col min="2" max="2" width="27.8141592920354" customWidth="1"/>
    <col min="3" max="3" width="25.6283185840708" customWidth="1"/>
    <col min="4" max="4" width="21.3805309734513" customWidth="1"/>
    <col min="5" max="5" width="17.2035398230088" customWidth="1"/>
    <col min="6" max="6" width="17.0619469026549" customWidth="1"/>
    <col min="7" max="7" width="25.4336283185841" customWidth="1"/>
    <col min="8" max="8" width="15.7964601769912"/>
    <col min="9" max="9" width="17.4690265486726" customWidth="1"/>
  </cols>
  <sheetData>
    <row r="1" ht="31" customHeight="1" spans="1:8">
      <c r="A1" s="1" t="s">
        <v>0</v>
      </c>
      <c r="B1" s="1" t="s">
        <v>25</v>
      </c>
      <c r="C1" s="2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ht="15" spans="1:9">
      <c r="A2" s="3" t="s">
        <v>5</v>
      </c>
      <c r="B2" s="3">
        <v>750</v>
      </c>
      <c r="C2" s="4">
        <v>161.412906666667</v>
      </c>
      <c r="D2" s="5">
        <v>121059.68</v>
      </c>
      <c r="E2" s="3">
        <v>283</v>
      </c>
      <c r="F2" s="6">
        <v>136.738586572438</v>
      </c>
      <c r="G2" s="5">
        <v>38697.02</v>
      </c>
      <c r="H2" s="7"/>
      <c r="I2" s="23"/>
    </row>
    <row r="3" ht="15" spans="1:9">
      <c r="A3" s="3" t="s">
        <v>6</v>
      </c>
      <c r="B3" s="3">
        <v>1653</v>
      </c>
      <c r="C3" s="6">
        <v>151.117525710829</v>
      </c>
      <c r="D3" s="5">
        <v>249797.27</v>
      </c>
      <c r="E3" s="3">
        <v>1351</v>
      </c>
      <c r="F3" s="6">
        <v>157.62393042191</v>
      </c>
      <c r="G3" s="5">
        <v>212949.93</v>
      </c>
      <c r="H3" s="7"/>
      <c r="I3" s="23"/>
    </row>
    <row r="4" ht="15" spans="1:9">
      <c r="A4" s="3" t="s">
        <v>7</v>
      </c>
      <c r="B4" s="3">
        <v>2546</v>
      </c>
      <c r="C4" s="6">
        <v>152.692804399057</v>
      </c>
      <c r="D4" s="5">
        <v>388755.88</v>
      </c>
      <c r="E4" s="3">
        <v>2382</v>
      </c>
      <c r="F4" s="6">
        <v>150.593345927792</v>
      </c>
      <c r="G4" s="5">
        <v>358713.35</v>
      </c>
      <c r="H4" s="7"/>
      <c r="I4" s="23"/>
    </row>
    <row r="5" ht="15" spans="1:9">
      <c r="A5" s="3" t="s">
        <v>8</v>
      </c>
      <c r="B5" s="3">
        <v>2303</v>
      </c>
      <c r="C5" s="6">
        <v>157.709361702128</v>
      </c>
      <c r="D5" s="5">
        <v>363204.66</v>
      </c>
      <c r="E5" s="3">
        <v>1849</v>
      </c>
      <c r="F5" s="6">
        <v>154.22350459708</v>
      </c>
      <c r="G5" s="5">
        <v>285159.26</v>
      </c>
      <c r="H5" s="7"/>
      <c r="I5" s="23"/>
    </row>
    <row r="6" ht="15" spans="1:9">
      <c r="A6" s="3" t="s">
        <v>9</v>
      </c>
      <c r="B6" s="3">
        <v>3546</v>
      </c>
      <c r="C6" s="6">
        <v>152.266714608009</v>
      </c>
      <c r="D6" s="5">
        <v>539937.77</v>
      </c>
      <c r="E6" s="3">
        <v>3751</v>
      </c>
      <c r="F6" s="6">
        <v>152.732983204479</v>
      </c>
      <c r="G6" s="5">
        <v>572901.42</v>
      </c>
      <c r="H6" s="8">
        <f t="shared" ref="H3:H10" si="0">D6/G6-1</f>
        <v>-0.0575380839516858</v>
      </c>
      <c r="I6" s="23"/>
    </row>
    <row r="7" ht="15" spans="1:9">
      <c r="A7" s="3" t="s">
        <v>10</v>
      </c>
      <c r="B7" s="3">
        <v>3135</v>
      </c>
      <c r="C7" s="6">
        <v>147.077690590112</v>
      </c>
      <c r="D7" s="5">
        <v>461088.56</v>
      </c>
      <c r="E7" s="3">
        <v>3223</v>
      </c>
      <c r="F7" s="6">
        <v>148.244241390009</v>
      </c>
      <c r="G7" s="5">
        <v>477791.19</v>
      </c>
      <c r="H7" s="8">
        <f t="shared" si="0"/>
        <v>-0.0349580116787001</v>
      </c>
      <c r="I7" s="23"/>
    </row>
    <row r="8" ht="15" spans="1:9">
      <c r="A8" s="3" t="s">
        <v>11</v>
      </c>
      <c r="B8" s="3">
        <v>3872</v>
      </c>
      <c r="C8" s="6">
        <v>143.447732438017</v>
      </c>
      <c r="D8" s="5">
        <v>555429.62</v>
      </c>
      <c r="E8" s="3">
        <v>3455</v>
      </c>
      <c r="F8" s="6">
        <v>146.69615918958</v>
      </c>
      <c r="G8" s="5">
        <v>506835.23</v>
      </c>
      <c r="H8" s="8">
        <f t="shared" si="0"/>
        <v>0.0958780825081951</v>
      </c>
      <c r="I8" s="23"/>
    </row>
    <row r="9" ht="15" spans="1:9">
      <c r="A9" s="3" t="s">
        <v>12</v>
      </c>
      <c r="B9" s="3">
        <v>4193</v>
      </c>
      <c r="C9" s="6">
        <v>150.485750059623</v>
      </c>
      <c r="D9" s="5">
        <v>630986.75</v>
      </c>
      <c r="E9" s="3">
        <v>4302</v>
      </c>
      <c r="F9" s="6">
        <v>143.614979079498</v>
      </c>
      <c r="G9" s="5">
        <v>617831.64</v>
      </c>
      <c r="H9" s="8">
        <f t="shared" si="0"/>
        <v>0.0212923863853913</v>
      </c>
      <c r="I9" s="23"/>
    </row>
    <row r="10" ht="15" spans="1:9">
      <c r="A10" s="3" t="s">
        <v>13</v>
      </c>
      <c r="B10" s="3">
        <v>4150</v>
      </c>
      <c r="C10" s="6">
        <v>161.566421686747</v>
      </c>
      <c r="D10" s="5">
        <v>670500.65</v>
      </c>
      <c r="E10" s="3">
        <v>3965</v>
      </c>
      <c r="F10" s="6">
        <v>161.920045397226</v>
      </c>
      <c r="G10" s="5">
        <v>642012.98</v>
      </c>
      <c r="H10" s="8">
        <f t="shared" si="0"/>
        <v>0.0443724206323679</v>
      </c>
      <c r="I10" s="23"/>
    </row>
    <row r="11" ht="31" customHeight="1" spans="1:9">
      <c r="A11" s="9" t="s">
        <v>14</v>
      </c>
      <c r="B11" s="9">
        <v>4478</v>
      </c>
      <c r="C11" s="10">
        <v>160.262550245645</v>
      </c>
      <c r="D11" s="11">
        <v>717655.7</v>
      </c>
      <c r="E11" s="9">
        <v>4494</v>
      </c>
      <c r="F11" s="10">
        <v>161.315689808634</v>
      </c>
      <c r="G11" s="11">
        <v>724952.71</v>
      </c>
      <c r="H11" s="12">
        <f>D11/G11-1</f>
        <v>-0.0100654979274442</v>
      </c>
      <c r="I11" s="23"/>
    </row>
    <row r="12" ht="30" customHeight="1" spans="1:9">
      <c r="A12" s="13" t="s">
        <v>15</v>
      </c>
      <c r="B12" s="9">
        <v>7289</v>
      </c>
      <c r="C12" s="10">
        <v>153.02538071066</v>
      </c>
      <c r="D12" s="14">
        <v>1115402</v>
      </c>
      <c r="E12" s="9">
        <v>4670</v>
      </c>
      <c r="F12" s="10">
        <v>155.812218415418</v>
      </c>
      <c r="G12" s="14">
        <v>727643.06</v>
      </c>
      <c r="H12" s="15">
        <f>D12/G12-1</f>
        <v>0.53289718725552</v>
      </c>
      <c r="I12" s="23"/>
    </row>
    <row r="13" ht="38" customHeight="1" spans="1:9">
      <c r="A13" s="13" t="s">
        <v>16</v>
      </c>
      <c r="B13" s="9">
        <v>5513</v>
      </c>
      <c r="C13" s="10">
        <v>148.391026664248</v>
      </c>
      <c r="D13" s="16">
        <v>818079.73</v>
      </c>
      <c r="E13" s="9">
        <v>7205</v>
      </c>
      <c r="F13" s="10">
        <v>148.390757807078</v>
      </c>
      <c r="G13" s="16">
        <v>1069155.41</v>
      </c>
      <c r="H13" s="17">
        <f>D13/G13-1</f>
        <v>-0.234835532469503</v>
      </c>
      <c r="I13" s="23"/>
    </row>
    <row r="14" ht="24" customHeight="1" spans="1:9">
      <c r="A14" s="18" t="s">
        <v>17</v>
      </c>
      <c r="B14" s="18">
        <v>7069</v>
      </c>
      <c r="C14" s="19">
        <v>148.708218984298</v>
      </c>
      <c r="D14" s="20">
        <v>1051218.4</v>
      </c>
      <c r="E14" s="18">
        <v>6597</v>
      </c>
      <c r="F14" s="19">
        <v>147.071212672427</v>
      </c>
      <c r="G14" s="20">
        <v>970228.79</v>
      </c>
      <c r="H14" s="12">
        <f>D14/G14-1</f>
        <v>0.0834747544442582</v>
      </c>
      <c r="I14" s="23"/>
    </row>
    <row r="15" ht="15" spans="1:9">
      <c r="A15" s="3" t="s">
        <v>18</v>
      </c>
      <c r="B15" s="3">
        <v>6555</v>
      </c>
      <c r="C15" s="6">
        <v>144.303774218154</v>
      </c>
      <c r="D15" s="5">
        <v>945911.24</v>
      </c>
      <c r="E15" s="3">
        <v>5850</v>
      </c>
      <c r="F15" s="6">
        <v>145.890806837607</v>
      </c>
      <c r="G15" s="5">
        <v>853461.22</v>
      </c>
      <c r="H15" s="21">
        <f>D15/G15-1</f>
        <v>0.108323633029278</v>
      </c>
      <c r="I15" s="23"/>
    </row>
    <row r="16" ht="15" spans="1:9">
      <c r="A16" s="3" t="s">
        <v>19</v>
      </c>
      <c r="B16" s="3">
        <v>7003</v>
      </c>
      <c r="C16" s="6">
        <v>155.313297158361</v>
      </c>
      <c r="D16" s="5">
        <v>1087659.02</v>
      </c>
      <c r="E16" s="3">
        <v>6824</v>
      </c>
      <c r="F16" s="6">
        <v>149.634818288394</v>
      </c>
      <c r="G16" s="5">
        <v>1021108</v>
      </c>
      <c r="H16" s="21">
        <f>D16/G16-1</f>
        <v>0.0651752997724042</v>
      </c>
      <c r="I16" s="23"/>
    </row>
    <row r="17" ht="15" spans="1:9">
      <c r="A17" s="3" t="s">
        <v>20</v>
      </c>
      <c r="B17" s="3">
        <v>6798</v>
      </c>
      <c r="C17" s="6">
        <v>158.748839364519</v>
      </c>
      <c r="D17" s="5">
        <v>1079174.61</v>
      </c>
      <c r="E17" s="3">
        <v>7850</v>
      </c>
      <c r="F17" s="6">
        <v>158.88772611465</v>
      </c>
      <c r="G17" s="5">
        <v>1247268.65</v>
      </c>
      <c r="H17" s="21">
        <f>D17/G17-1</f>
        <v>-0.134769714607995</v>
      </c>
      <c r="I17" s="23"/>
    </row>
    <row r="18" ht="15" spans="1:9">
      <c r="A18" s="3" t="s">
        <v>21</v>
      </c>
      <c r="B18" s="3">
        <v>6749</v>
      </c>
      <c r="C18" s="6">
        <v>158.903307156616</v>
      </c>
      <c r="D18" s="5">
        <v>1072438.42</v>
      </c>
      <c r="E18" s="3">
        <v>7111</v>
      </c>
      <c r="F18" s="6">
        <v>156.724924764449</v>
      </c>
      <c r="G18" s="5">
        <v>1114470.94</v>
      </c>
      <c r="H18" s="21">
        <f>D18/G18-1</f>
        <v>-0.0377152229738714</v>
      </c>
      <c r="I18" s="23"/>
    </row>
    <row r="19" ht="15" spans="1:9">
      <c r="A19" s="3" t="s">
        <v>22</v>
      </c>
      <c r="B19" s="3">
        <v>6099</v>
      </c>
      <c r="C19" s="6">
        <v>158.88823741597</v>
      </c>
      <c r="D19" s="5">
        <v>969059.36</v>
      </c>
      <c r="E19" s="3">
        <v>6829</v>
      </c>
      <c r="F19" s="6">
        <v>162.772129155074</v>
      </c>
      <c r="G19" s="5">
        <v>1111570.87</v>
      </c>
      <c r="H19" s="22"/>
      <c r="I19" s="23"/>
    </row>
    <row r="20" ht="15" spans="1:9">
      <c r="A20" s="3" t="s">
        <v>23</v>
      </c>
      <c r="B20" s="3">
        <v>6159</v>
      </c>
      <c r="C20" s="6">
        <v>158.385429452833</v>
      </c>
      <c r="D20" s="5">
        <v>975495.86</v>
      </c>
      <c r="E20" s="3">
        <v>5839</v>
      </c>
      <c r="F20" s="6">
        <v>155.154562425073</v>
      </c>
      <c r="G20" s="5">
        <v>905947.49</v>
      </c>
      <c r="H20" s="22"/>
      <c r="I20" s="23"/>
    </row>
    <row r="21" ht="15" spans="1:9">
      <c r="A21" s="3" t="s">
        <v>24</v>
      </c>
      <c r="B21" s="3">
        <v>6351</v>
      </c>
      <c r="C21" s="6">
        <v>147.975583372697</v>
      </c>
      <c r="D21" s="5">
        <v>939792.93</v>
      </c>
      <c r="E21" s="3">
        <v>8314</v>
      </c>
      <c r="F21" s="6">
        <v>154.057804907385</v>
      </c>
      <c r="G21" s="5">
        <v>1280836.59</v>
      </c>
      <c r="H21" s="22"/>
      <c r="I21" s="2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purchase_GMV</vt:lpstr>
      <vt:lpstr>purchase_GMV vs delivered_GMV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</dc:creator>
  <cp:lastModifiedBy>傑傑傑傑傑傑傑.</cp:lastModifiedBy>
  <dcterms:created xsi:type="dcterms:W3CDTF">2023-05-12T11:15:00Z</dcterms:created>
  <dcterms:modified xsi:type="dcterms:W3CDTF">2025-11-02T08:41:51Z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6BF34F4B55AB489C996BE9CE2B9722EF_12</vt:lpwstr>
  </property>
</Properties>
</file>